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rwineu.sharepoint.com/sites/P5-C1-007Cancerduringpregnancy-CoreP5-C1-007/Gedeelde documenten/03. Code preparation and test data/"/>
    </mc:Choice>
  </mc:AlternateContent>
  <xr:revisionPtr revIDLastSave="0" documentId="8_{A1BA8F38-C1E3-412D-9EDA-21D73F53949B}" xr6:coauthVersionLast="47" xr6:coauthVersionMax="47" xr10:uidLastSave="{00000000-0000-0000-0000-000000000000}"/>
  <bookViews>
    <workbookView xWindow="0" yWindow="680" windowWidth="34200" windowHeight="21460" firstSheet="3" activeTab="3" xr2:uid="{00000000-000D-0000-FFFF-FFFF00000000}"/>
  </bookViews>
  <sheets>
    <sheet name="Summary" sheetId="8" r:id="rId1"/>
    <sheet name="person" sheetId="1" r:id="rId2"/>
    <sheet name="observation_period" sheetId="2" r:id="rId3"/>
    <sheet name="pregnancy" sheetId="3" r:id="rId4"/>
    <sheet name="condition_occurrence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" l="1"/>
  <c r="E17" i="3"/>
  <c r="E16" i="3"/>
  <c r="E15" i="3"/>
  <c r="E14" i="3"/>
  <c r="E8" i="3"/>
  <c r="E3" i="3"/>
  <c r="E4" i="3"/>
  <c r="E5" i="3"/>
  <c r="E6" i="3"/>
  <c r="E7" i="3"/>
  <c r="E9" i="3"/>
  <c r="E10" i="3"/>
  <c r="E11" i="3"/>
  <c r="E12" i="3"/>
  <c r="E13" i="3"/>
  <c r="E2" i="3"/>
</calcChain>
</file>

<file path=xl/sharedStrings.xml><?xml version="1.0" encoding="utf-8"?>
<sst xmlns="http://schemas.openxmlformats.org/spreadsheetml/2006/main" count="167" uniqueCount="81">
  <si>
    <t>person_id</t>
  </si>
  <si>
    <t xml:space="preserve">pregnancy_id </t>
  </si>
  <si>
    <t>Included episode in OCURRENCE: YES/NO</t>
  </si>
  <si>
    <t>Included episode in INCIDENCE: YES/NO</t>
  </si>
  <si>
    <t>Reason for exclusion</t>
  </si>
  <si>
    <t>Occurrence during preg and 1y after: YES/NO</t>
  </si>
  <si>
    <t>Incident case during preg and 1y after: YES/NO</t>
  </si>
  <si>
    <t>Period</t>
  </si>
  <si>
    <t xml:space="preserve">Type of cancer </t>
  </si>
  <si>
    <t>Trimester</t>
  </si>
  <si>
    <t>Birth term status</t>
  </si>
  <si>
    <t>Gravidity</t>
  </si>
  <si>
    <t>Additional comments</t>
  </si>
  <si>
    <t>NO</t>
  </si>
  <si>
    <t>Outside study period</t>
  </si>
  <si>
    <t>N/A</t>
  </si>
  <si>
    <t>YES</t>
  </si>
  <si>
    <t>DURING PREG</t>
  </si>
  <si>
    <t xml:space="preserve">Breast </t>
  </si>
  <si>
    <t>1st</t>
  </si>
  <si>
    <t>Term</t>
  </si>
  <si>
    <t>Subsequent</t>
  </si>
  <si>
    <t>Male</t>
  </si>
  <si>
    <t>DURING 1y AFTER</t>
  </si>
  <si>
    <t>Ovary</t>
  </si>
  <si>
    <t>Post</t>
  </si>
  <si>
    <t>Pre-term</t>
  </si>
  <si>
    <t>Breast</t>
  </si>
  <si>
    <t>First</t>
  </si>
  <si>
    <t>Not included in incidence (concept id related to relapse, not included in the phenotype for incidence)</t>
  </si>
  <si>
    <t>Cancer in the 5 years prior</t>
  </si>
  <si>
    <t>Any</t>
  </si>
  <si>
    <t>Cancer &gt;5 years prior</t>
  </si>
  <si>
    <t>&lt;1y prior obs at pregnancy start (no longer a excl criteria)</t>
  </si>
  <si>
    <t>YES (Sensitivity NO)</t>
  </si>
  <si>
    <t>Stillbirth</t>
  </si>
  <si>
    <t>Melanoma</t>
  </si>
  <si>
    <t>2nd</t>
  </si>
  <si>
    <t>Elective termination. Cancer after pregnancy.</t>
  </si>
  <si>
    <t>Cervix</t>
  </si>
  <si>
    <t>Miscarriage</t>
  </si>
  <si>
    <t>*</t>
  </si>
  <si>
    <r>
      <t>Cancer during the year after but should be considered during the following preg.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 (Body)"/>
      </rPr>
      <t>See github issue #29</t>
    </r>
  </si>
  <si>
    <t>Lymphoma</t>
  </si>
  <si>
    <t>Pregnancy starting &lt;1y after end of prior cancer. Cancer should be considered for this pregnancy.</t>
  </si>
  <si>
    <t>During last year of available data</t>
  </si>
  <si>
    <r>
      <t xml:space="preserve">Cancer in the 5 years prior (but based on source_concept this code should not be considered. </t>
    </r>
    <r>
      <rPr>
        <sz val="11"/>
        <color rgb="FFFF0000"/>
        <rFont val="Calibri (Body)"/>
      </rPr>
      <t>See github issue #30</t>
    </r>
  </si>
  <si>
    <t>gender_concept_id</t>
  </si>
  <si>
    <t>day_of_birth</t>
  </si>
  <si>
    <t>month_of_birth</t>
  </si>
  <si>
    <t>year_of_birth</t>
  </si>
  <si>
    <t>race_concept_id</t>
  </si>
  <si>
    <t>ethnicity_concept_id</t>
  </si>
  <si>
    <t>observation_period_id</t>
  </si>
  <si>
    <t>observation_period_start_date</t>
  </si>
  <si>
    <t>observation_period_end_date</t>
  </si>
  <si>
    <t>period_type_concept_id</t>
  </si>
  <si>
    <t xml:space="preserve">pregnancy_start_date </t>
  </si>
  <si>
    <t xml:space="preserve">pregnancy_end_date </t>
  </si>
  <si>
    <t xml:space="preserve">gestational_length_in_day </t>
  </si>
  <si>
    <t>pregnancy_outcome</t>
  </si>
  <si>
    <t xml:space="preserve">pregnancy_mode_delivery </t>
  </si>
  <si>
    <t>pregnancy_single</t>
  </si>
  <si>
    <t>prev_pregnancy_gravidity</t>
  </si>
  <si>
    <t>condition_occurrence_id</t>
  </si>
  <si>
    <t>condition_concept_id</t>
  </si>
  <si>
    <t>condition_start_date</t>
  </si>
  <si>
    <t>condition_end_date</t>
  </si>
  <si>
    <t>condition_type_concept_id</t>
  </si>
  <si>
    <t>condition_source_concept_id</t>
  </si>
  <si>
    <t>Comments</t>
  </si>
  <si>
    <t>Cancer during pregnancy (breast)</t>
  </si>
  <si>
    <t>MALE-Cancer during postpartum (ovary)</t>
  </si>
  <si>
    <t>Cancer during postpartum (recurrence of breast cancer)</t>
  </si>
  <si>
    <t>Cancer prior to 1st pregnancy</t>
  </si>
  <si>
    <t>Cancer &gt;5y prior to pregnancy start</t>
  </si>
  <si>
    <t>Cancer during postpartum (otgers)</t>
  </si>
  <si>
    <t>Cancer during pregnancy (melanoma)</t>
  </si>
  <si>
    <t>Cancer &gt;2y after pregnancy (cervix)</t>
  </si>
  <si>
    <t>Cancer duing pregnancy (lymphoma; pregnancy ID: 15)</t>
  </si>
  <si>
    <t>Cancer urinary tract -&gt; Should not be identified based on mapping error (Screening)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</si>
</sst>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Helvetica Neue"/>
      <family val="2"/>
    </font>
    <font>
      <sz val="10"/>
      <color rgb="FF000000"/>
      <name val="Helvetica Neue"/>
      <family val="2"/>
    </font>
    <font>
      <sz val="13"/>
      <color rgb="FF464646"/>
      <name val="HelveticaNeue"/>
    </font>
    <font>
      <sz val="10"/>
      <color theme="1"/>
      <name val="Helvetica Neue"/>
      <family val="2"/>
    </font>
    <font>
      <sz val="12"/>
      <color theme="1"/>
      <name val="Helvetica Neue"/>
      <family val="2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right" wrapText="1"/>
    </xf>
    <xf numFmtId="0" fontId="8" fillId="0" borderId="0" xfId="1" applyFont="1"/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14" fillId="0" borderId="0" xfId="0" applyFont="1"/>
    <xf numFmtId="14" fontId="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5" formatCode="m/d/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5" formatCode="m/d/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/>
        <top/>
        <bottom style="thin">
          <color theme="1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4B5D28-4DA7-8345-A2FA-E54EB9B1D8C3}" name="Table3" displayName="Table3" ref="A1:M18" totalsRowShown="0">
  <autoFilter ref="A1:M18" xr:uid="{194B5D28-4DA7-8345-A2FA-E54EB9B1D8C3}">
    <filterColumn colId="3">
      <filters>
        <filter val="YES"/>
        <filter val="YES (Sensitivity NO)"/>
      </filters>
    </filterColumn>
  </autoFilter>
  <sortState xmlns:xlrd2="http://schemas.microsoft.com/office/spreadsheetml/2017/richdata2" ref="A2:M18">
    <sortCondition ref="H1:H18"/>
  </sortState>
  <tableColumns count="13">
    <tableColumn id="1" xr3:uid="{1E66EC45-B403-0946-B9EB-303EBF252986}" name="person_id" dataDxfId="39"/>
    <tableColumn id="2" xr3:uid="{6C38C3F4-7AE2-2248-93EB-C101D97B4FDC}" name="pregnancy_id " dataDxfId="38"/>
    <tableColumn id="10" xr3:uid="{7C2F2062-0CB4-DE43-AA44-C8BBF3D27C8C}" name="Included episode in OCURRENCE: YES/NO" dataDxfId="37"/>
    <tableColumn id="3" xr3:uid="{87F67BB9-C2DA-B849-936B-335D0884BED6}" name="Included episode in INCIDENCE: YES/NO"/>
    <tableColumn id="4" xr3:uid="{B2B9979C-F11E-0F48-A568-8D15211C3AB7}" name="Reason for exclusion"/>
    <tableColumn id="13" xr3:uid="{F33F46D4-7689-4741-9CD7-7F2808D09799}" name="Occurrence during preg and 1y after: YES/NO"/>
    <tableColumn id="14" xr3:uid="{4B7EF89B-4803-EF47-A8DB-B84AEF43C00F}" name="Incident case during preg and 1y after: YES/NO"/>
    <tableColumn id="15" xr3:uid="{377AC562-91D6-1043-9B42-1948F0DCB7D9}" name="Period"/>
    <tableColumn id="6" xr3:uid="{FF3F1169-C1A6-D048-BF7C-B36DB64A78E6}" name="Type of cancer "/>
    <tableColumn id="7" xr3:uid="{D2B0F380-9A01-A742-B006-DD1B44496786}" name="Trimester"/>
    <tableColumn id="8" xr3:uid="{119A1999-467A-8247-982B-D129A61B8FD6}" name="Birth term status"/>
    <tableColumn id="17" xr3:uid="{6CAE5F0F-0F4F-6749-A2F2-66B2B2CF1DCC}" name="Gravidity"/>
    <tableColumn id="12" xr3:uid="{9588028A-EB87-C54C-8CAD-0CA44CD4C935}" name="Additional comment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4BBD8E-93F1-FB43-BD26-14C719AE7A2B}" name="Table2" displayName="Table2" ref="A1:G12" totalsRowShown="0" headerRowDxfId="36" dataDxfId="35">
  <tableColumns count="7">
    <tableColumn id="1" xr3:uid="{1A32F522-5847-2745-9928-21F4D0BCC2C1}" name="person_id" dataDxfId="34"/>
    <tableColumn id="2" xr3:uid="{9B1F9FDF-CD10-784A-A9F7-7300C97E4E53}" name="gender_concept_id" dataDxfId="33"/>
    <tableColumn id="3" xr3:uid="{BFCC1724-3E83-7B41-BEE7-B5F25DAF2FD7}" name="day_of_birth" dataDxfId="32"/>
    <tableColumn id="4" xr3:uid="{C8EE4C08-0F52-824A-AE72-7895F992FDC7}" name="month_of_birth" dataDxfId="31"/>
    <tableColumn id="5" xr3:uid="{DEAC2033-6708-3143-BE90-FE3C0B48FC59}" name="year_of_birth" dataDxfId="30"/>
    <tableColumn id="6" xr3:uid="{3ACF39C6-E4D8-FE48-8128-0E6559655977}" name="race_concept_id" dataDxfId="29"/>
    <tableColumn id="7" xr3:uid="{D77746BA-5E43-5B4E-8B41-E2B4FB45DDC7}" name="ethnicity_concept_id" dataDxfId="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1E976-51F9-9E47-B76B-86AC9FD6295F}" name="Table1" displayName="Table1" ref="A1:E12" totalsRowShown="0" headerRowDxfId="27" dataDxfId="26">
  <tableColumns count="5">
    <tableColumn id="1" xr3:uid="{6975F070-C2CB-D14B-8A42-12A73311A7A9}" name="observation_period_id" dataDxfId="25"/>
    <tableColumn id="2" xr3:uid="{7BE5FDF0-7293-6945-B020-37F16C8481BA}" name="person_id" dataDxfId="24"/>
    <tableColumn id="3" xr3:uid="{C3C1309D-872D-8646-971B-FC8321E556BA}" name="observation_period_start_date" dataDxfId="23"/>
    <tableColumn id="4" xr3:uid="{7277F5FA-4B1A-644E-BD02-4928DC9579A0}" name="observation_period_end_date" dataDxfId="22"/>
    <tableColumn id="5" xr3:uid="{2028D5FC-6458-EE4E-A7DF-34B682F7F406}" name="period_type_concept_id" dataDxfId="2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B90362-4322-AD4C-9E80-FDABA40EFDB8}" name="Table4" displayName="Table4" ref="A1:I18" totalsRowShown="0" headerRowDxfId="20" dataDxfId="19">
  <autoFilter ref="A1:I18" xr:uid="{35B90362-4322-AD4C-9E80-FDABA40EFDB8}">
    <filterColumn colId="0">
      <filters>
        <filter val="7"/>
      </filters>
    </filterColumn>
  </autoFilter>
  <tableColumns count="9">
    <tableColumn id="1" xr3:uid="{CD6FBB03-38FC-C148-A184-4D193CFB97C4}" name="person_id" dataDxfId="18"/>
    <tableColumn id="2" xr3:uid="{DDF2C6B7-8FAD-D743-8757-CAC4D660BB67}" name="pregnancy_id " dataDxfId="17"/>
    <tableColumn id="3" xr3:uid="{EE4CAD3C-FF43-3A46-80E3-5D481FF703D6}" name="pregnancy_start_date " dataDxfId="16"/>
    <tableColumn id="4" xr3:uid="{7ED65E82-1E46-3546-8911-A25E77FCC84A}" name="pregnancy_end_date " dataDxfId="15"/>
    <tableColumn id="5" xr3:uid="{429701CB-B5C4-A04D-948C-54AB3FDC5F2E}" name="gestational_length_in_day " dataDxfId="14">
      <calculatedColumnFormula>D2-C2</calculatedColumnFormula>
    </tableColumn>
    <tableColumn id="6" xr3:uid="{29B10738-5AE6-6E45-A778-C9101BB5E907}" name="pregnancy_outcome" dataDxfId="13"/>
    <tableColumn id="7" xr3:uid="{393F9C5E-641E-1543-86FB-FF1BF1D37939}" name="pregnancy_mode_delivery " dataDxfId="12"/>
    <tableColumn id="8" xr3:uid="{1DFCCCDC-C959-1446-912E-36F383653AB2}" name="pregnancy_single" dataDxfId="11"/>
    <tableColumn id="9" xr3:uid="{F2205295-B8F6-CE4A-BA22-C0C044E1FBFE}" name="prev_pregnancy_gravidity" dataDxfId="1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995B7D-37A4-F94F-B57E-F2FCE4A40111}" name="Table5" displayName="Table5" ref="A1:H11" totalsRowShown="0" headerRowDxfId="8">
  <autoFilter ref="A1:H11" xr:uid="{7A995B7D-37A4-F94F-B57E-F2FCE4A40111}"/>
  <tableColumns count="8">
    <tableColumn id="1" xr3:uid="{548D2CD1-B000-E740-A0BB-ECE7540C2D4A}" name="condition_occurrence_id" dataDxfId="7"/>
    <tableColumn id="2" xr3:uid="{898BFB5B-07EC-6C4F-AEFC-12544A6BEE7D}" name="person_id" dataDxfId="6"/>
    <tableColumn id="3" xr3:uid="{C1DF5CC8-6C59-D44E-9978-2CBF0BFD4D6B}" name="condition_concept_id" dataDxfId="5"/>
    <tableColumn id="4" xr3:uid="{E62C9ADA-B4A4-354C-922D-C6C2CDCC277B}" name="condition_start_date" dataDxfId="4"/>
    <tableColumn id="5" xr3:uid="{8E42F62A-32BE-6D4B-99C5-782C49DED963}" name="condition_end_date" dataDxfId="3"/>
    <tableColumn id="6" xr3:uid="{F208577D-8A87-2F46-B119-B8244E51267F}" name="condition_type_concept_id" dataDxfId="2"/>
    <tableColumn id="8" xr3:uid="{E38933FE-1C4B-EF4B-B14F-2CED672FB95A}" name="condition_source_concept_id" dataDxfId="1"/>
    <tableColumn id="7" xr3:uid="{D0CBCB11-59C9-E445-9D9E-EC872DC928F9}" name="Comment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athena.ohdsi.org/search-terms/terms/1975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B868-C8C6-E548-B06A-A35E74D64610}">
  <dimension ref="A1:M51"/>
  <sheetViews>
    <sheetView zoomScale="98" workbookViewId="0">
      <selection activeCell="I32" sqref="I32"/>
    </sheetView>
  </sheetViews>
  <sheetFormatPr defaultColWidth="11.42578125" defaultRowHeight="15"/>
  <cols>
    <col min="1" max="1" width="12.28515625" customWidth="1"/>
    <col min="2" max="2" width="21.85546875" customWidth="1"/>
    <col min="3" max="3" width="36.85546875" customWidth="1"/>
    <col min="4" max="4" width="36.28515625" customWidth="1"/>
    <col min="5" max="5" width="27.42578125" customWidth="1"/>
    <col min="6" max="6" width="33.42578125" customWidth="1"/>
    <col min="7" max="7" width="29" customWidth="1"/>
    <col min="8" max="8" width="27.28515625" customWidth="1"/>
    <col min="9" max="9" width="20.28515625" customWidth="1"/>
    <col min="10" max="10" width="17.42578125" customWidth="1"/>
    <col min="11" max="12" width="16.42578125" customWidth="1"/>
    <col min="13" max="13" width="57.7109375" customWidth="1"/>
    <col min="14" max="16" width="53.42578125" customWidth="1"/>
  </cols>
  <sheetData>
    <row r="1" spans="1:13" ht="15.9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95" hidden="1">
      <c r="A2" s="1">
        <v>1</v>
      </c>
      <c r="B2" s="1">
        <v>1</v>
      </c>
      <c r="C2" t="s">
        <v>13</v>
      </c>
      <c r="D2" t="s">
        <v>13</v>
      </c>
      <c r="E2" t="s">
        <v>14</v>
      </c>
      <c r="F2" t="s">
        <v>13</v>
      </c>
      <c r="G2" t="s">
        <v>15</v>
      </c>
    </row>
    <row r="3" spans="1:13" ht="15.95">
      <c r="A3" s="1">
        <v>1</v>
      </c>
      <c r="B3" s="1">
        <v>2</v>
      </c>
      <c r="C3" t="s">
        <v>16</v>
      </c>
      <c r="D3" t="s">
        <v>16</v>
      </c>
      <c r="F3" t="s">
        <v>13</v>
      </c>
      <c r="G3" t="s">
        <v>13</v>
      </c>
    </row>
    <row r="4" spans="1:13" ht="15.95">
      <c r="A4" s="1">
        <v>1</v>
      </c>
      <c r="B4" s="1">
        <v>3</v>
      </c>
      <c r="C4" t="s">
        <v>16</v>
      </c>
      <c r="D4" t="s">
        <v>16</v>
      </c>
      <c r="F4" t="s">
        <v>16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3" ht="15.95" hidden="1">
      <c r="A5" s="1">
        <v>2</v>
      </c>
      <c r="B5" s="1">
        <v>4</v>
      </c>
      <c r="C5" t="s">
        <v>13</v>
      </c>
      <c r="D5" t="s">
        <v>13</v>
      </c>
      <c r="E5" t="s">
        <v>22</v>
      </c>
      <c r="F5" t="s">
        <v>16</v>
      </c>
      <c r="G5" t="s">
        <v>15</v>
      </c>
      <c r="H5" t="s">
        <v>23</v>
      </c>
      <c r="I5" t="s">
        <v>24</v>
      </c>
      <c r="J5" t="s">
        <v>25</v>
      </c>
      <c r="K5" t="s">
        <v>26</v>
      </c>
    </row>
    <row r="6" spans="1:13" ht="15.75" hidden="1">
      <c r="A6" s="1">
        <v>3</v>
      </c>
      <c r="B6" s="1">
        <v>5</v>
      </c>
      <c r="C6" t="s">
        <v>16</v>
      </c>
      <c r="D6" t="s">
        <v>13</v>
      </c>
      <c r="F6" t="s">
        <v>16</v>
      </c>
      <c r="G6" t="s">
        <v>15</v>
      </c>
      <c r="H6" t="s">
        <v>23</v>
      </c>
      <c r="I6" t="s">
        <v>27</v>
      </c>
      <c r="J6" t="s">
        <v>25</v>
      </c>
      <c r="K6" t="s">
        <v>20</v>
      </c>
      <c r="L6" t="s">
        <v>28</v>
      </c>
      <c r="M6" s="20" t="s">
        <v>29</v>
      </c>
    </row>
    <row r="7" spans="1:13" ht="15.95" hidden="1">
      <c r="A7" s="1">
        <v>4</v>
      </c>
      <c r="B7" s="1">
        <v>6</v>
      </c>
      <c r="C7" t="s">
        <v>16</v>
      </c>
      <c r="D7" t="s">
        <v>13</v>
      </c>
      <c r="E7" t="s">
        <v>30</v>
      </c>
      <c r="F7" t="s">
        <v>13</v>
      </c>
      <c r="G7" t="s">
        <v>15</v>
      </c>
      <c r="I7" t="s">
        <v>31</v>
      </c>
    </row>
    <row r="8" spans="1:13" ht="15.95">
      <c r="A8" s="1">
        <v>4</v>
      </c>
      <c r="B8" s="1">
        <v>7</v>
      </c>
      <c r="C8" t="s">
        <v>16</v>
      </c>
      <c r="D8" t="s">
        <v>16</v>
      </c>
      <c r="F8" t="s">
        <v>13</v>
      </c>
      <c r="G8" t="s">
        <v>13</v>
      </c>
    </row>
    <row r="9" spans="1:13" ht="15.95">
      <c r="A9" s="1">
        <v>6</v>
      </c>
      <c r="B9" s="1">
        <v>8</v>
      </c>
      <c r="C9" t="s">
        <v>16</v>
      </c>
      <c r="D9" t="s">
        <v>16</v>
      </c>
      <c r="E9" t="s">
        <v>32</v>
      </c>
      <c r="F9" t="s">
        <v>13</v>
      </c>
      <c r="G9" t="s">
        <v>13</v>
      </c>
      <c r="I9" t="s">
        <v>31</v>
      </c>
    </row>
    <row r="10" spans="1:13" ht="15.95">
      <c r="A10" s="1">
        <v>7</v>
      </c>
      <c r="B10" s="1">
        <v>9</v>
      </c>
      <c r="C10" t="s">
        <v>16</v>
      </c>
      <c r="D10" t="s">
        <v>16</v>
      </c>
      <c r="F10" t="s">
        <v>16</v>
      </c>
      <c r="G10" t="s">
        <v>16</v>
      </c>
      <c r="H10" t="s">
        <v>23</v>
      </c>
      <c r="I10" t="s">
        <v>31</v>
      </c>
      <c r="J10" t="s">
        <v>25</v>
      </c>
      <c r="K10" t="s">
        <v>20</v>
      </c>
      <c r="L10" t="s">
        <v>28</v>
      </c>
      <c r="M10" t="s">
        <v>33</v>
      </c>
    </row>
    <row r="11" spans="1:13" ht="15.95" hidden="1">
      <c r="A11" s="1">
        <v>7</v>
      </c>
      <c r="B11" s="1">
        <v>10</v>
      </c>
      <c r="C11" t="s">
        <v>16</v>
      </c>
      <c r="D11" t="s">
        <v>13</v>
      </c>
      <c r="E11" s="5" t="s">
        <v>30</v>
      </c>
      <c r="F11" t="s">
        <v>13</v>
      </c>
      <c r="G11" t="s">
        <v>15</v>
      </c>
    </row>
    <row r="12" spans="1:13" ht="15.95">
      <c r="A12" s="1">
        <v>8</v>
      </c>
      <c r="B12" s="1">
        <v>11</v>
      </c>
      <c r="C12" t="s">
        <v>34</v>
      </c>
      <c r="D12" t="s">
        <v>34</v>
      </c>
      <c r="E12" t="s">
        <v>35</v>
      </c>
      <c r="F12" t="s">
        <v>13</v>
      </c>
      <c r="G12" t="s">
        <v>13</v>
      </c>
    </row>
    <row r="13" spans="1:13" ht="15.95">
      <c r="A13" s="1">
        <v>8</v>
      </c>
      <c r="B13" s="1">
        <v>12</v>
      </c>
      <c r="C13" t="s">
        <v>16</v>
      </c>
      <c r="D13" t="s">
        <v>16</v>
      </c>
      <c r="F13" t="s">
        <v>16</v>
      </c>
      <c r="G13" t="s">
        <v>16</v>
      </c>
      <c r="H13" t="s">
        <v>17</v>
      </c>
      <c r="I13" t="s">
        <v>36</v>
      </c>
      <c r="J13" t="s">
        <v>37</v>
      </c>
      <c r="K13" t="s">
        <v>26</v>
      </c>
      <c r="L13" t="s">
        <v>21</v>
      </c>
    </row>
    <row r="14" spans="1:13" ht="30" customHeight="1">
      <c r="A14" s="1">
        <v>9</v>
      </c>
      <c r="B14" s="1">
        <v>13</v>
      </c>
      <c r="C14" t="s">
        <v>34</v>
      </c>
      <c r="D14" t="s">
        <v>34</v>
      </c>
      <c r="E14" s="16" t="s">
        <v>38</v>
      </c>
      <c r="F14" t="s">
        <v>13</v>
      </c>
      <c r="G14" t="s">
        <v>13</v>
      </c>
      <c r="I14" t="s">
        <v>39</v>
      </c>
    </row>
    <row r="15" spans="1:13" ht="15.95">
      <c r="A15" s="1">
        <v>10</v>
      </c>
      <c r="B15" s="1">
        <v>14</v>
      </c>
      <c r="C15" t="s">
        <v>34</v>
      </c>
      <c r="D15" t="s">
        <v>34</v>
      </c>
      <c r="E15" t="s">
        <v>40</v>
      </c>
      <c r="F15" t="s">
        <v>41</v>
      </c>
      <c r="G15" t="s">
        <v>41</v>
      </c>
      <c r="H15" t="s">
        <v>23</v>
      </c>
      <c r="M15" t="s">
        <v>42</v>
      </c>
    </row>
    <row r="16" spans="1:13" ht="15.95">
      <c r="A16" s="1">
        <v>10</v>
      </c>
      <c r="B16" s="1">
        <v>15</v>
      </c>
      <c r="C16" t="s">
        <v>16</v>
      </c>
      <c r="D16" t="s">
        <v>16</v>
      </c>
      <c r="F16" t="s">
        <v>16</v>
      </c>
      <c r="G16" t="s">
        <v>16</v>
      </c>
      <c r="H16" t="s">
        <v>17</v>
      </c>
      <c r="I16" t="s">
        <v>43</v>
      </c>
      <c r="J16" t="s">
        <v>19</v>
      </c>
      <c r="K16" t="s">
        <v>20</v>
      </c>
      <c r="L16" t="s">
        <v>21</v>
      </c>
      <c r="M16" t="s">
        <v>44</v>
      </c>
    </row>
    <row r="17" spans="1:13" ht="15.95" hidden="1">
      <c r="A17" s="1">
        <v>10</v>
      </c>
      <c r="B17" s="1">
        <v>16</v>
      </c>
      <c r="C17" s="1" t="s">
        <v>13</v>
      </c>
      <c r="D17" t="s">
        <v>13</v>
      </c>
      <c r="E17" t="s">
        <v>45</v>
      </c>
      <c r="F17" t="s">
        <v>13</v>
      </c>
      <c r="G17" t="s">
        <v>15</v>
      </c>
    </row>
    <row r="18" spans="1:13" ht="15.95">
      <c r="A18" s="1">
        <v>11</v>
      </c>
      <c r="B18" s="1">
        <v>17</v>
      </c>
      <c r="C18" s="1" t="s">
        <v>16</v>
      </c>
      <c r="D18" t="s">
        <v>16</v>
      </c>
      <c r="F18" t="s">
        <v>13</v>
      </c>
      <c r="G18" t="s">
        <v>13</v>
      </c>
      <c r="M18" t="s">
        <v>46</v>
      </c>
    </row>
    <row r="26" spans="1:13" ht="15.95">
      <c r="A26" s="19"/>
      <c r="B26" s="19"/>
      <c r="C26" s="19"/>
      <c r="E26" s="19"/>
      <c r="F26" s="19"/>
      <c r="G26" s="19"/>
      <c r="H26" s="19"/>
      <c r="I26" s="19"/>
      <c r="J26" s="19"/>
    </row>
    <row r="27" spans="1:13" ht="15.95">
      <c r="A27" s="19"/>
      <c r="B27" s="19"/>
      <c r="C27" s="19"/>
      <c r="E27" s="17"/>
      <c r="F27" s="17"/>
      <c r="G27" s="17"/>
      <c r="H27" s="17"/>
      <c r="I27" s="19"/>
      <c r="J27" s="19"/>
    </row>
    <row r="28" spans="1:13" ht="15.95">
      <c r="A28" s="19"/>
      <c r="B28" s="19"/>
      <c r="C28" s="19"/>
      <c r="E28" s="17"/>
      <c r="F28" s="17"/>
      <c r="G28" s="17"/>
      <c r="H28" s="17"/>
      <c r="I28" s="19"/>
      <c r="J28" s="19"/>
    </row>
    <row r="29" spans="1:13" ht="15.95">
      <c r="A29" s="19"/>
      <c r="B29" s="19"/>
      <c r="C29" s="19"/>
      <c r="E29" s="17"/>
      <c r="F29" s="17"/>
      <c r="G29" s="17"/>
      <c r="H29" s="17"/>
      <c r="I29" s="19"/>
      <c r="J29" s="19"/>
    </row>
    <row r="30" spans="1:13" ht="15.95">
      <c r="A30" s="19"/>
      <c r="B30" s="19"/>
      <c r="C30" s="19"/>
      <c r="E30" s="17"/>
      <c r="F30" s="17"/>
      <c r="G30" s="17"/>
      <c r="H30" s="17"/>
      <c r="I30" s="19"/>
      <c r="J30" s="19"/>
    </row>
    <row r="31" spans="1:13" ht="15.95">
      <c r="A31" s="19"/>
      <c r="B31" s="19"/>
      <c r="C31" s="19"/>
      <c r="E31" s="17"/>
      <c r="F31" s="17"/>
      <c r="G31" s="17"/>
      <c r="H31" s="17"/>
      <c r="I31" s="19"/>
      <c r="J31" s="19"/>
    </row>
    <row r="32" spans="1:13" ht="17.100000000000001">
      <c r="D32" s="19"/>
      <c r="E32" s="17"/>
      <c r="F32" s="17"/>
      <c r="G32" s="17"/>
      <c r="H32" s="17"/>
      <c r="I32" s="13"/>
      <c r="J32" s="19"/>
    </row>
    <row r="33" spans="1:10" ht="15.95">
      <c r="A33" s="19"/>
      <c r="D33" s="17"/>
      <c r="E33" s="17"/>
      <c r="F33" s="17"/>
      <c r="G33" s="17"/>
      <c r="H33" s="17"/>
      <c r="I33" s="19"/>
      <c r="J33" s="19"/>
    </row>
    <row r="34" spans="1:10" ht="15.95">
      <c r="D34" s="17"/>
    </row>
    <row r="35" spans="1:10" ht="15.95">
      <c r="D35" s="17"/>
    </row>
    <row r="36" spans="1:10" ht="15.95">
      <c r="D36" s="17"/>
      <c r="E36" s="4"/>
      <c r="F36" s="4"/>
      <c r="G36" s="4"/>
      <c r="H36" s="4"/>
    </row>
    <row r="37" spans="1:10" ht="15.95">
      <c r="A37" s="1"/>
      <c r="B37" s="1"/>
      <c r="C37" s="1"/>
      <c r="D37" s="17"/>
      <c r="E37" s="7"/>
      <c r="F37" s="7"/>
      <c r="G37" s="7"/>
      <c r="H37" s="7"/>
      <c r="I37" s="2"/>
    </row>
    <row r="38" spans="1:10" ht="15.95">
      <c r="A38" s="1"/>
      <c r="B38" s="1"/>
      <c r="C38" s="1"/>
      <c r="D38" s="17"/>
      <c r="E38" s="7"/>
      <c r="F38" s="7"/>
      <c r="G38" s="7"/>
      <c r="H38" s="7"/>
      <c r="I38" s="2"/>
    </row>
    <row r="39" spans="1:10" ht="15.95">
      <c r="A39" s="1"/>
      <c r="B39" s="1"/>
      <c r="C39" s="1"/>
      <c r="D39" s="17"/>
      <c r="E39" s="7"/>
      <c r="F39" s="7"/>
      <c r="G39" s="7"/>
      <c r="H39" s="7"/>
      <c r="I39" s="2"/>
    </row>
    <row r="40" spans="1:10" ht="15.95">
      <c r="A40" s="1"/>
      <c r="B40" s="1"/>
      <c r="C40" s="1"/>
      <c r="E40" s="7"/>
      <c r="F40" s="7"/>
      <c r="G40" s="7"/>
      <c r="H40" s="7"/>
      <c r="I40" s="3"/>
    </row>
    <row r="41" spans="1:10" ht="15.95">
      <c r="A41" s="1"/>
      <c r="B41" s="1"/>
      <c r="C41" s="1"/>
      <c r="E41" s="7"/>
      <c r="F41" s="7"/>
      <c r="G41" s="7"/>
      <c r="H41" s="7"/>
    </row>
    <row r="42" spans="1:10" ht="15.95">
      <c r="A42" s="19"/>
      <c r="B42" s="19"/>
      <c r="C42" s="19"/>
      <c r="D42" s="19"/>
      <c r="E42" s="19"/>
      <c r="F42" s="19"/>
      <c r="G42" s="19"/>
      <c r="H42" s="19"/>
    </row>
    <row r="44" spans="1:10" ht="15.95">
      <c r="I44" s="7"/>
    </row>
    <row r="45" spans="1:10" ht="15.95">
      <c r="D45" s="7"/>
      <c r="E45" s="7"/>
      <c r="F45" s="7"/>
      <c r="G45" s="7"/>
      <c r="H45" s="7"/>
    </row>
    <row r="46" spans="1:10" ht="15.95">
      <c r="D46" s="7"/>
      <c r="E46" s="7"/>
      <c r="F46" s="7"/>
      <c r="G46" s="7"/>
      <c r="H46" s="7"/>
    </row>
    <row r="51" spans="5:8" ht="15.95">
      <c r="E51" s="7"/>
      <c r="F51" s="7"/>
      <c r="G51" s="7"/>
      <c r="H51" s="7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activeCell="A3" sqref="A3:XFD3"/>
    </sheetView>
  </sheetViews>
  <sheetFormatPr defaultColWidth="8.85546875" defaultRowHeight="15"/>
  <cols>
    <col min="1" max="1" width="11.42578125" customWidth="1"/>
    <col min="2" max="4" width="35.42578125" customWidth="1"/>
    <col min="5" max="5" width="21.42578125" customWidth="1"/>
    <col min="6" max="6" width="16.85546875" customWidth="1"/>
    <col min="7" max="7" width="20.28515625" customWidth="1"/>
  </cols>
  <sheetData>
    <row r="1" spans="1:11" ht="15.9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11" ht="15.95">
      <c r="A2" s="1">
        <v>1</v>
      </c>
      <c r="B2" s="1">
        <v>8532</v>
      </c>
      <c r="C2" s="1">
        <v>1</v>
      </c>
      <c r="D2" s="1">
        <v>6</v>
      </c>
      <c r="E2" s="1">
        <v>1990</v>
      </c>
      <c r="F2" s="1">
        <v>0</v>
      </c>
      <c r="G2" s="1">
        <v>0</v>
      </c>
    </row>
    <row r="3" spans="1:11" ht="15.95">
      <c r="A3" s="1">
        <v>2</v>
      </c>
      <c r="B3" s="1">
        <v>8507</v>
      </c>
      <c r="C3" s="1">
        <v>1</v>
      </c>
      <c r="D3" s="1">
        <v>6</v>
      </c>
      <c r="E3" s="1">
        <v>1985</v>
      </c>
      <c r="F3" s="1">
        <v>0</v>
      </c>
      <c r="G3" s="1">
        <v>0</v>
      </c>
    </row>
    <row r="4" spans="1:11" ht="15.95">
      <c r="A4" s="1">
        <v>3</v>
      </c>
      <c r="B4" s="1">
        <v>8532</v>
      </c>
      <c r="C4" s="1">
        <v>1</v>
      </c>
      <c r="D4" s="1">
        <v>6</v>
      </c>
      <c r="E4" s="1">
        <v>1995</v>
      </c>
      <c r="F4" s="1">
        <v>0</v>
      </c>
      <c r="G4" s="1">
        <v>0</v>
      </c>
    </row>
    <row r="5" spans="1:11" ht="15.95">
      <c r="A5" s="1">
        <v>4</v>
      </c>
      <c r="B5" s="1">
        <v>8532</v>
      </c>
      <c r="C5" s="1">
        <v>1</v>
      </c>
      <c r="D5" s="1">
        <v>6</v>
      </c>
      <c r="E5" s="1">
        <v>1996</v>
      </c>
      <c r="F5" s="1">
        <v>0</v>
      </c>
      <c r="G5" s="1">
        <v>0</v>
      </c>
    </row>
    <row r="6" spans="1:11" ht="15.95">
      <c r="A6" s="1">
        <v>5</v>
      </c>
      <c r="B6" s="1">
        <v>8532</v>
      </c>
      <c r="C6" s="1">
        <v>1</v>
      </c>
      <c r="D6" s="1">
        <v>6</v>
      </c>
      <c r="E6" s="1">
        <v>2000</v>
      </c>
      <c r="F6" s="1">
        <v>0</v>
      </c>
      <c r="G6" s="1">
        <v>0</v>
      </c>
    </row>
    <row r="7" spans="1:11" ht="15.95">
      <c r="A7" s="1">
        <v>6</v>
      </c>
      <c r="B7" s="1">
        <v>8532</v>
      </c>
      <c r="C7" s="1">
        <v>1</v>
      </c>
      <c r="D7" s="1">
        <v>6</v>
      </c>
      <c r="E7" s="1">
        <v>1984</v>
      </c>
      <c r="F7" s="1">
        <v>0</v>
      </c>
      <c r="G7" s="1">
        <v>0</v>
      </c>
    </row>
    <row r="8" spans="1:11" ht="15.95">
      <c r="A8" s="1">
        <v>7</v>
      </c>
      <c r="B8" s="1">
        <v>8532</v>
      </c>
      <c r="C8" s="1">
        <v>1</v>
      </c>
      <c r="D8" s="1">
        <v>6</v>
      </c>
      <c r="E8" s="1">
        <v>1995</v>
      </c>
      <c r="F8" s="1">
        <v>0</v>
      </c>
      <c r="G8" s="1">
        <v>0</v>
      </c>
    </row>
    <row r="9" spans="1:11" ht="15.95">
      <c r="A9" s="1">
        <v>8</v>
      </c>
      <c r="B9" s="1">
        <v>8532</v>
      </c>
      <c r="C9" s="1">
        <v>1</v>
      </c>
      <c r="D9" s="1">
        <v>6</v>
      </c>
      <c r="E9" s="1">
        <v>1990</v>
      </c>
      <c r="F9" s="1">
        <v>0</v>
      </c>
      <c r="G9" s="1">
        <v>0</v>
      </c>
    </row>
    <row r="10" spans="1:11" ht="15.95">
      <c r="A10" s="1">
        <v>9</v>
      </c>
      <c r="B10" s="1">
        <v>8532</v>
      </c>
      <c r="C10" s="1">
        <v>1</v>
      </c>
      <c r="D10" s="1">
        <v>6</v>
      </c>
      <c r="E10" s="1">
        <v>1990</v>
      </c>
      <c r="F10" s="1">
        <v>0</v>
      </c>
      <c r="G10" s="1">
        <v>0</v>
      </c>
    </row>
    <row r="11" spans="1:11" ht="15.95">
      <c r="A11" s="1">
        <v>10</v>
      </c>
      <c r="B11" s="1">
        <v>8532</v>
      </c>
      <c r="C11" s="1">
        <v>1</v>
      </c>
      <c r="D11" s="1">
        <v>6</v>
      </c>
      <c r="E11" s="1">
        <v>1992</v>
      </c>
      <c r="F11" s="1">
        <v>0</v>
      </c>
      <c r="G11" s="1">
        <v>0</v>
      </c>
    </row>
    <row r="12" spans="1:11" ht="15.95">
      <c r="A12" s="1">
        <v>11</v>
      </c>
      <c r="B12" s="1">
        <v>8532</v>
      </c>
      <c r="C12" s="1">
        <v>1</v>
      </c>
      <c r="D12" s="1">
        <v>6</v>
      </c>
      <c r="E12" s="1">
        <v>1992</v>
      </c>
      <c r="F12" s="1">
        <v>0</v>
      </c>
      <c r="G12" s="1">
        <v>0</v>
      </c>
    </row>
    <row r="13" spans="1:11" ht="15.95">
      <c r="A13" s="1"/>
      <c r="B13" s="1"/>
      <c r="C13" s="1"/>
      <c r="E13" s="1"/>
      <c r="F13" s="1"/>
      <c r="G13" s="1"/>
      <c r="H13" s="5"/>
      <c r="K13" s="5"/>
    </row>
    <row r="14" spans="1:11" ht="15.95">
      <c r="A14" s="1"/>
      <c r="B14" s="1"/>
      <c r="C14" s="1"/>
      <c r="E14" s="1"/>
      <c r="F14" s="1"/>
      <c r="G14" s="1"/>
      <c r="H14" s="5"/>
      <c r="K14" s="5"/>
    </row>
    <row r="15" spans="1:11" ht="15.95">
      <c r="A15" s="1"/>
      <c r="B15" s="1"/>
      <c r="C15" s="1"/>
      <c r="E15" s="1"/>
      <c r="F15" s="1"/>
      <c r="G15" s="1"/>
      <c r="H15" s="5"/>
      <c r="K15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B433-8712-6348-9439-118BA945D9FC}">
  <dimension ref="A1:E18"/>
  <sheetViews>
    <sheetView workbookViewId="0">
      <selection activeCell="C15" sqref="C15"/>
    </sheetView>
  </sheetViews>
  <sheetFormatPr defaultColWidth="11.42578125" defaultRowHeight="15"/>
  <cols>
    <col min="1" max="1" width="22.140625" bestFit="1" customWidth="1"/>
    <col min="3" max="3" width="30.28515625" bestFit="1" customWidth="1"/>
    <col min="4" max="4" width="29.28515625" bestFit="1" customWidth="1"/>
    <col min="5" max="5" width="27.28515625" customWidth="1"/>
  </cols>
  <sheetData>
    <row r="1" spans="1:5" ht="15.95">
      <c r="A1" s="1" t="s">
        <v>53</v>
      </c>
      <c r="B1" s="1" t="s">
        <v>0</v>
      </c>
      <c r="C1" s="1" t="s">
        <v>54</v>
      </c>
      <c r="D1" s="1" t="s">
        <v>55</v>
      </c>
      <c r="E1" s="1" t="s">
        <v>56</v>
      </c>
    </row>
    <row r="2" spans="1:5" ht="15.95">
      <c r="A2" s="1">
        <v>1</v>
      </c>
      <c r="B2" s="1">
        <v>1</v>
      </c>
      <c r="C2" s="6">
        <v>38718</v>
      </c>
      <c r="D2" s="6">
        <v>45657</v>
      </c>
      <c r="E2" s="1">
        <v>32880</v>
      </c>
    </row>
    <row r="3" spans="1:5" ht="15.95">
      <c r="A3" s="1">
        <v>2</v>
      </c>
      <c r="B3" s="1">
        <v>2</v>
      </c>
      <c r="C3" s="6">
        <v>38718</v>
      </c>
      <c r="D3" s="6">
        <v>45657</v>
      </c>
      <c r="E3" s="1">
        <v>32880</v>
      </c>
    </row>
    <row r="4" spans="1:5" ht="15.95">
      <c r="A4" s="1">
        <v>3</v>
      </c>
      <c r="B4" s="1">
        <v>3</v>
      </c>
      <c r="C4" s="6">
        <v>39448</v>
      </c>
      <c r="D4" s="6">
        <v>45657</v>
      </c>
      <c r="E4" s="1">
        <v>32880</v>
      </c>
    </row>
    <row r="5" spans="1:5" ht="15.95">
      <c r="A5" s="1">
        <v>4</v>
      </c>
      <c r="B5" s="1">
        <v>4</v>
      </c>
      <c r="C5" s="6">
        <v>40909</v>
      </c>
      <c r="D5" s="6">
        <v>45657</v>
      </c>
      <c r="E5" s="1">
        <v>32880</v>
      </c>
    </row>
    <row r="6" spans="1:5" ht="15.95">
      <c r="A6" s="1">
        <v>5</v>
      </c>
      <c r="B6" s="1">
        <v>5</v>
      </c>
      <c r="C6" s="6">
        <v>40349</v>
      </c>
      <c r="D6" s="6">
        <v>45657</v>
      </c>
      <c r="E6" s="1">
        <v>32880</v>
      </c>
    </row>
    <row r="7" spans="1:5" ht="15.95">
      <c r="A7" s="1">
        <v>6</v>
      </c>
      <c r="B7" s="1">
        <v>6</v>
      </c>
      <c r="C7" s="6">
        <v>38718</v>
      </c>
      <c r="D7" s="6">
        <v>45657</v>
      </c>
      <c r="E7" s="1">
        <v>32880</v>
      </c>
    </row>
    <row r="8" spans="1:5" ht="15.95">
      <c r="A8" s="1">
        <v>7</v>
      </c>
      <c r="B8" s="1">
        <v>7</v>
      </c>
      <c r="C8" s="6">
        <v>42370</v>
      </c>
      <c r="D8" s="6">
        <v>45657</v>
      </c>
      <c r="E8" s="1">
        <v>32880</v>
      </c>
    </row>
    <row r="9" spans="1:5" ht="15.95">
      <c r="A9" s="1">
        <v>8</v>
      </c>
      <c r="B9" s="1">
        <v>8</v>
      </c>
      <c r="C9" s="6">
        <v>38718</v>
      </c>
      <c r="D9" s="6">
        <v>45657</v>
      </c>
      <c r="E9" s="1">
        <v>32880</v>
      </c>
    </row>
    <row r="10" spans="1:5" ht="15.95">
      <c r="A10" s="1">
        <v>9</v>
      </c>
      <c r="B10" s="1">
        <v>9</v>
      </c>
      <c r="C10" s="6">
        <v>38718</v>
      </c>
      <c r="D10" s="6">
        <v>45657</v>
      </c>
      <c r="E10" s="1">
        <v>32880</v>
      </c>
    </row>
    <row r="11" spans="1:5" ht="15.95">
      <c r="A11" s="1">
        <v>10</v>
      </c>
      <c r="B11" s="1">
        <v>10</v>
      </c>
      <c r="C11" s="6">
        <v>38719</v>
      </c>
      <c r="D11" s="6">
        <v>45657</v>
      </c>
      <c r="E11" s="1">
        <v>32880</v>
      </c>
    </row>
    <row r="12" spans="1:5" ht="15.95">
      <c r="A12" s="1">
        <v>11</v>
      </c>
      <c r="B12" s="1">
        <v>11</v>
      </c>
      <c r="C12" s="2">
        <v>38719</v>
      </c>
      <c r="D12" s="2">
        <v>45657</v>
      </c>
      <c r="E12" s="1">
        <v>32880</v>
      </c>
    </row>
    <row r="15" spans="1:5" ht="15.95">
      <c r="E15" s="2"/>
    </row>
    <row r="18" spans="5:5" ht="15.95">
      <c r="E1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4438-4099-6E40-90B1-739F61573A13}">
  <dimension ref="A1:K29"/>
  <sheetViews>
    <sheetView tabSelected="1" workbookViewId="0">
      <selection activeCell="I27" sqref="I27"/>
    </sheetView>
  </sheetViews>
  <sheetFormatPr defaultColWidth="11.42578125" defaultRowHeight="15"/>
  <cols>
    <col min="2" max="2" width="18.7109375" customWidth="1"/>
    <col min="3" max="3" width="21.85546875" customWidth="1"/>
    <col min="4" max="4" width="27" customWidth="1"/>
    <col min="5" max="5" width="25.7109375" customWidth="1"/>
    <col min="6" max="6" width="23" customWidth="1"/>
    <col min="7" max="7" width="25.28515625" customWidth="1"/>
    <col min="8" max="8" width="19.140625" customWidth="1"/>
    <col min="9" max="9" width="28.42578125" customWidth="1"/>
  </cols>
  <sheetData>
    <row r="1" spans="1:11" ht="15.95">
      <c r="A1" s="1" t="s">
        <v>0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/>
      <c r="K1" s="1"/>
    </row>
    <row r="2" spans="1:11" ht="15.95" hidden="1">
      <c r="A2" s="1">
        <v>1</v>
      </c>
      <c r="B2" s="1">
        <v>1</v>
      </c>
      <c r="C2" s="7">
        <v>39181</v>
      </c>
      <c r="D2" s="7">
        <v>39448</v>
      </c>
      <c r="E2" s="1">
        <f>D2-C2</f>
        <v>267</v>
      </c>
      <c r="F2" s="1">
        <v>4092289</v>
      </c>
      <c r="G2" s="1">
        <v>4125611</v>
      </c>
      <c r="H2" s="1">
        <v>4188539</v>
      </c>
      <c r="I2" s="1">
        <v>0</v>
      </c>
      <c r="J2" s="1"/>
      <c r="K2" s="1"/>
    </row>
    <row r="3" spans="1:11" ht="15.95" hidden="1">
      <c r="A3" s="1">
        <v>1</v>
      </c>
      <c r="B3" s="1">
        <v>2</v>
      </c>
      <c r="C3" s="7">
        <v>42894</v>
      </c>
      <c r="D3" s="7">
        <v>43174</v>
      </c>
      <c r="E3" s="1">
        <f t="shared" ref="E3:E13" si="0">D3-C3</f>
        <v>280</v>
      </c>
      <c r="F3" s="1">
        <v>4092289</v>
      </c>
      <c r="G3" s="1">
        <v>4125611</v>
      </c>
      <c r="H3" s="1">
        <v>4188539</v>
      </c>
      <c r="I3" s="1">
        <v>1</v>
      </c>
      <c r="J3" s="1"/>
      <c r="K3" s="1"/>
    </row>
    <row r="4" spans="1:11" ht="15.95" hidden="1">
      <c r="A4" s="1">
        <v>1</v>
      </c>
      <c r="B4" s="1">
        <v>3</v>
      </c>
      <c r="C4" s="7">
        <v>43735</v>
      </c>
      <c r="D4" s="7">
        <v>44002</v>
      </c>
      <c r="E4" s="1">
        <f t="shared" si="0"/>
        <v>267</v>
      </c>
      <c r="F4" s="1">
        <v>4092289</v>
      </c>
      <c r="G4" s="1">
        <v>4125611</v>
      </c>
      <c r="H4" s="1">
        <v>4188539</v>
      </c>
      <c r="I4" s="1">
        <v>2</v>
      </c>
      <c r="J4" s="1"/>
      <c r="K4" s="1"/>
    </row>
    <row r="5" spans="1:11" ht="15.95" hidden="1">
      <c r="A5" s="1">
        <v>2</v>
      </c>
      <c r="B5" s="1">
        <v>4</v>
      </c>
      <c r="C5" s="7">
        <v>44473</v>
      </c>
      <c r="D5" s="7">
        <v>44713</v>
      </c>
      <c r="E5" s="1">
        <f t="shared" si="0"/>
        <v>240</v>
      </c>
      <c r="F5" s="1">
        <v>4092289</v>
      </c>
      <c r="G5" s="1">
        <v>4015701</v>
      </c>
      <c r="H5" s="1">
        <v>4188539</v>
      </c>
      <c r="I5" s="1">
        <v>0</v>
      </c>
      <c r="J5" s="1"/>
      <c r="K5" s="1"/>
    </row>
    <row r="6" spans="1:11" ht="15.95" hidden="1">
      <c r="A6" s="1">
        <v>3</v>
      </c>
      <c r="B6" s="1">
        <v>5</v>
      </c>
      <c r="C6" s="7">
        <v>44808</v>
      </c>
      <c r="D6" s="7">
        <v>45078</v>
      </c>
      <c r="E6" s="1">
        <f t="shared" si="0"/>
        <v>270</v>
      </c>
      <c r="F6" s="1">
        <v>4092289</v>
      </c>
      <c r="G6" s="1">
        <v>4125611</v>
      </c>
      <c r="H6" s="1">
        <v>4188539</v>
      </c>
      <c r="I6" s="1">
        <v>0</v>
      </c>
      <c r="J6" s="1"/>
      <c r="K6" s="1"/>
    </row>
    <row r="7" spans="1:11" ht="15.95" hidden="1">
      <c r="A7" s="1">
        <v>4</v>
      </c>
      <c r="B7" s="1">
        <v>6</v>
      </c>
      <c r="C7" s="7">
        <v>42163</v>
      </c>
      <c r="D7" s="7">
        <v>42444</v>
      </c>
      <c r="E7" s="1">
        <f t="shared" si="0"/>
        <v>281</v>
      </c>
      <c r="F7" s="1">
        <v>4092289</v>
      </c>
      <c r="G7" s="1">
        <v>4125611</v>
      </c>
      <c r="H7" s="1">
        <v>4188539</v>
      </c>
      <c r="I7" s="1">
        <v>1</v>
      </c>
      <c r="J7" s="1"/>
      <c r="K7" s="1"/>
    </row>
    <row r="8" spans="1:11" ht="15.95" hidden="1">
      <c r="A8" s="1">
        <v>4</v>
      </c>
      <c r="B8" s="1">
        <v>7</v>
      </c>
      <c r="C8" s="7">
        <v>44720</v>
      </c>
      <c r="D8" s="7">
        <v>45000</v>
      </c>
      <c r="E8" s="1">
        <f t="shared" ref="E8" si="1">D8-C8</f>
        <v>280</v>
      </c>
      <c r="F8" s="1">
        <v>4092289</v>
      </c>
      <c r="G8" s="1">
        <v>4125611</v>
      </c>
      <c r="H8" s="1">
        <v>4188539</v>
      </c>
      <c r="I8" s="1">
        <v>2</v>
      </c>
      <c r="J8" s="1"/>
      <c r="K8" s="1"/>
    </row>
    <row r="9" spans="1:11" ht="15.95" hidden="1">
      <c r="A9" s="1">
        <v>6</v>
      </c>
      <c r="B9" s="1">
        <v>8</v>
      </c>
      <c r="C9" s="7">
        <v>43990</v>
      </c>
      <c r="D9" s="7">
        <v>44266</v>
      </c>
      <c r="E9" s="1">
        <f t="shared" si="0"/>
        <v>276</v>
      </c>
      <c r="F9" s="1">
        <v>4092289</v>
      </c>
      <c r="G9" s="1">
        <v>4125611</v>
      </c>
      <c r="H9" s="1">
        <v>4188539</v>
      </c>
      <c r="I9" s="1">
        <v>0</v>
      </c>
      <c r="J9" s="1"/>
      <c r="K9" s="1"/>
    </row>
    <row r="10" spans="1:11" ht="15.95">
      <c r="A10" s="1">
        <v>7</v>
      </c>
      <c r="B10" s="1">
        <v>9</v>
      </c>
      <c r="C10" s="7">
        <v>42640</v>
      </c>
      <c r="D10" s="7">
        <v>42906</v>
      </c>
      <c r="E10" s="1">
        <f t="shared" si="0"/>
        <v>266</v>
      </c>
      <c r="F10" s="1">
        <v>4092289</v>
      </c>
      <c r="G10" s="1">
        <v>4125611</v>
      </c>
      <c r="H10" s="1">
        <v>4188539</v>
      </c>
      <c r="I10" s="1">
        <v>0</v>
      </c>
      <c r="J10" s="1"/>
      <c r="K10" s="1"/>
    </row>
    <row r="11" spans="1:11" ht="15.95">
      <c r="A11" s="1">
        <v>7</v>
      </c>
      <c r="B11" s="1">
        <v>10</v>
      </c>
      <c r="C11" s="7">
        <v>43735</v>
      </c>
      <c r="D11" s="7">
        <v>44002</v>
      </c>
      <c r="E11" s="1">
        <f t="shared" si="0"/>
        <v>267</v>
      </c>
      <c r="F11" s="1">
        <v>4092289</v>
      </c>
      <c r="G11" s="1">
        <v>4125611</v>
      </c>
      <c r="H11" s="1">
        <v>4188539</v>
      </c>
      <c r="I11" s="1">
        <v>1</v>
      </c>
      <c r="J11" s="1"/>
      <c r="K11" s="1"/>
    </row>
    <row r="12" spans="1:11" ht="17.100000000000001" hidden="1">
      <c r="A12" s="1">
        <v>8</v>
      </c>
      <c r="B12" s="1">
        <v>11</v>
      </c>
      <c r="C12" s="7">
        <v>42640</v>
      </c>
      <c r="D12" s="7">
        <v>42767</v>
      </c>
      <c r="E12" s="1">
        <f t="shared" si="0"/>
        <v>127</v>
      </c>
      <c r="F12" s="10">
        <v>443213</v>
      </c>
      <c r="G12" s="1">
        <v>4125611</v>
      </c>
      <c r="H12" s="1">
        <v>4188539</v>
      </c>
      <c r="I12" s="1">
        <v>0</v>
      </c>
    </row>
    <row r="13" spans="1:11" ht="15.95" hidden="1">
      <c r="A13" s="1">
        <v>8</v>
      </c>
      <c r="B13" s="1">
        <v>12</v>
      </c>
      <c r="C13" s="7">
        <v>43735</v>
      </c>
      <c r="D13" s="7">
        <v>43971</v>
      </c>
      <c r="E13" s="1">
        <f t="shared" si="0"/>
        <v>236</v>
      </c>
      <c r="F13" s="1">
        <v>4092289</v>
      </c>
      <c r="G13" s="1">
        <v>4125611</v>
      </c>
      <c r="H13" s="1">
        <v>4188539</v>
      </c>
      <c r="I13" s="1">
        <v>1</v>
      </c>
    </row>
    <row r="14" spans="1:11" ht="17.100000000000001" hidden="1">
      <c r="A14" s="1">
        <v>9</v>
      </c>
      <c r="B14" s="1">
        <v>13</v>
      </c>
      <c r="C14" s="7">
        <v>43101</v>
      </c>
      <c r="D14" s="7">
        <v>43174</v>
      </c>
      <c r="E14" s="1">
        <f>D14-C14</f>
        <v>73</v>
      </c>
      <c r="F14" s="10">
        <v>4081422</v>
      </c>
      <c r="G14" s="1">
        <v>4125611</v>
      </c>
      <c r="H14" s="1">
        <v>4188539</v>
      </c>
      <c r="I14" s="1">
        <v>0</v>
      </c>
    </row>
    <row r="15" spans="1:11" ht="15.95" hidden="1">
      <c r="A15" s="1">
        <v>10</v>
      </c>
      <c r="B15" s="1">
        <v>14</v>
      </c>
      <c r="C15" s="7">
        <v>42736</v>
      </c>
      <c r="D15" s="7">
        <v>42795</v>
      </c>
      <c r="E15" s="1">
        <f>D15-C15</f>
        <v>59</v>
      </c>
      <c r="F15" s="1">
        <v>4067106</v>
      </c>
      <c r="G15" s="1">
        <v>4125611</v>
      </c>
      <c r="H15" s="1">
        <v>4188539</v>
      </c>
      <c r="I15" s="1">
        <v>0</v>
      </c>
    </row>
    <row r="16" spans="1:11" ht="15.95" hidden="1">
      <c r="A16" s="1">
        <v>10</v>
      </c>
      <c r="B16" s="1">
        <v>15</v>
      </c>
      <c r="C16" s="7">
        <v>43070</v>
      </c>
      <c r="D16" s="7">
        <v>43344</v>
      </c>
      <c r="E16" s="1">
        <f>D16-C16</f>
        <v>274</v>
      </c>
      <c r="F16" s="1">
        <v>4092289</v>
      </c>
      <c r="G16" s="1">
        <v>4125611</v>
      </c>
      <c r="H16" s="1">
        <v>4188539</v>
      </c>
      <c r="I16" s="1">
        <v>1</v>
      </c>
    </row>
    <row r="17" spans="1:10" ht="15.95" hidden="1">
      <c r="A17" s="1">
        <v>10</v>
      </c>
      <c r="B17" s="1">
        <v>16</v>
      </c>
      <c r="C17" s="7">
        <v>45292</v>
      </c>
      <c r="D17" s="7">
        <v>45566</v>
      </c>
      <c r="E17" s="1">
        <f>D17-C17</f>
        <v>274</v>
      </c>
      <c r="F17" s="1">
        <v>4092289</v>
      </c>
      <c r="G17" s="1">
        <v>4125611</v>
      </c>
      <c r="H17" s="1">
        <v>4188539</v>
      </c>
      <c r="I17" s="1">
        <v>2</v>
      </c>
    </row>
    <row r="18" spans="1:10" ht="15.95" hidden="1">
      <c r="A18" s="1">
        <v>11</v>
      </c>
      <c r="B18" s="1">
        <v>17</v>
      </c>
      <c r="C18" s="7">
        <v>43070</v>
      </c>
      <c r="D18" s="7">
        <v>43344</v>
      </c>
      <c r="E18" s="1">
        <f>D18-C18</f>
        <v>274</v>
      </c>
      <c r="F18" s="1">
        <v>4092289</v>
      </c>
      <c r="G18" s="1">
        <v>4125611</v>
      </c>
      <c r="H18" s="1">
        <v>4188539</v>
      </c>
      <c r="I18" s="1">
        <v>0</v>
      </c>
    </row>
    <row r="19" spans="1:10" ht="15.95">
      <c r="C19" s="8"/>
      <c r="D19" s="3"/>
      <c r="E19" s="3"/>
      <c r="G19" s="1"/>
      <c r="H19" s="1"/>
      <c r="I19" s="1"/>
      <c r="J19" s="1"/>
    </row>
    <row r="20" spans="1:10" ht="15.95">
      <c r="C20" s="19"/>
      <c r="D20" s="3"/>
      <c r="E20" s="3"/>
      <c r="G20" s="1"/>
      <c r="H20" s="1"/>
      <c r="I20" s="1"/>
      <c r="J20" s="1"/>
    </row>
    <row r="21" spans="1:10" ht="15.95">
      <c r="C21" s="19"/>
      <c r="D21" s="19"/>
      <c r="E21" s="19"/>
      <c r="F21" s="19"/>
      <c r="G21" s="1"/>
      <c r="H21" s="1"/>
      <c r="I21" s="1"/>
      <c r="J21" s="1"/>
    </row>
    <row r="22" spans="1:10" ht="15.95">
      <c r="A22" s="1"/>
      <c r="C22" s="19"/>
      <c r="D22" s="11"/>
      <c r="E22" s="17"/>
      <c r="F22" s="18"/>
      <c r="G22" s="19"/>
      <c r="H22" s="19"/>
      <c r="J22" s="1"/>
    </row>
    <row r="23" spans="1:10" ht="15.95">
      <c r="A23" s="1"/>
      <c r="C23" s="19"/>
      <c r="D23" s="8"/>
      <c r="E23" s="7"/>
      <c r="F23" s="6"/>
    </row>
    <row r="24" spans="1:10" ht="15.95">
      <c r="A24" s="1"/>
      <c r="C24" s="19"/>
      <c r="D24" s="8"/>
      <c r="E24" s="7"/>
      <c r="F24" s="6"/>
    </row>
    <row r="25" spans="1:10" ht="15.95">
      <c r="A25" s="1"/>
      <c r="C25" s="1"/>
      <c r="D25" s="8"/>
      <c r="E25" s="7"/>
      <c r="F25" s="6"/>
    </row>
    <row r="26" spans="1:10" ht="15.95">
      <c r="A26" s="1"/>
      <c r="C26" s="17"/>
      <c r="D26" s="18"/>
      <c r="E26" s="7"/>
      <c r="F26" s="7"/>
    </row>
    <row r="27" spans="1:10" ht="15.95">
      <c r="A27" s="1"/>
    </row>
    <row r="28" spans="1:10" ht="15.95">
      <c r="A28" s="1"/>
    </row>
    <row r="29" spans="1:10" ht="15.95">
      <c r="A29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CC37-34A0-7148-A526-B526592A6A13}">
  <dimension ref="A1:H24"/>
  <sheetViews>
    <sheetView topLeftCell="A30" workbookViewId="0">
      <selection activeCell="F31" sqref="F31"/>
    </sheetView>
  </sheetViews>
  <sheetFormatPr defaultColWidth="11.42578125" defaultRowHeight="15"/>
  <cols>
    <col min="1" max="1" width="23.28515625" customWidth="1"/>
    <col min="2" max="2" width="16.7109375" customWidth="1"/>
    <col min="3" max="3" width="25.85546875" customWidth="1"/>
    <col min="4" max="4" width="24.28515625" customWidth="1"/>
    <col min="5" max="5" width="19.7109375" customWidth="1"/>
    <col min="6" max="7" width="33.85546875" customWidth="1"/>
    <col min="8" max="8" width="34.85546875" customWidth="1"/>
  </cols>
  <sheetData>
    <row r="1" spans="1:8" ht="15.95">
      <c r="A1" s="19" t="s">
        <v>64</v>
      </c>
      <c r="B1" s="19" t="s">
        <v>0</v>
      </c>
      <c r="C1" s="19" t="s">
        <v>65</v>
      </c>
      <c r="D1" s="19" t="s">
        <v>66</v>
      </c>
      <c r="E1" s="19" t="s">
        <v>67</v>
      </c>
      <c r="F1" s="19" t="s">
        <v>68</v>
      </c>
      <c r="G1" s="19" t="s">
        <v>69</v>
      </c>
      <c r="H1" s="19" t="s">
        <v>70</v>
      </c>
    </row>
    <row r="2" spans="1:8" ht="15.95">
      <c r="A2" s="19">
        <v>1</v>
      </c>
      <c r="B2" s="19">
        <v>1</v>
      </c>
      <c r="C2" s="11">
        <v>4116071</v>
      </c>
      <c r="D2" s="17">
        <v>43796</v>
      </c>
      <c r="E2" s="18">
        <v>45657</v>
      </c>
      <c r="F2" s="19">
        <v>32817</v>
      </c>
      <c r="G2" s="19"/>
      <c r="H2" s="19" t="s">
        <v>71</v>
      </c>
    </row>
    <row r="3" spans="1:8" ht="15.95">
      <c r="A3" s="19">
        <v>2</v>
      </c>
      <c r="B3" s="19">
        <v>2</v>
      </c>
      <c r="C3">
        <v>4307986</v>
      </c>
      <c r="D3" s="17">
        <v>44927</v>
      </c>
      <c r="E3" s="18">
        <v>45657</v>
      </c>
      <c r="F3" s="19">
        <v>32817</v>
      </c>
      <c r="G3" s="19"/>
      <c r="H3" s="19" t="s">
        <v>72</v>
      </c>
    </row>
    <row r="4" spans="1:8" ht="15.95">
      <c r="A4" s="19">
        <v>3</v>
      </c>
      <c r="B4" s="19">
        <v>3</v>
      </c>
      <c r="C4" s="9">
        <v>4201477</v>
      </c>
      <c r="D4" s="17">
        <v>45292</v>
      </c>
      <c r="E4" s="18">
        <v>45657</v>
      </c>
      <c r="F4" s="19">
        <v>32817</v>
      </c>
      <c r="G4" s="19"/>
      <c r="H4" s="19" t="s">
        <v>73</v>
      </c>
    </row>
    <row r="5" spans="1:8" ht="15.95">
      <c r="A5" s="19">
        <v>4</v>
      </c>
      <c r="B5" s="19">
        <v>4</v>
      </c>
      <c r="C5" s="12">
        <v>40486583</v>
      </c>
      <c r="D5" s="17">
        <v>41433</v>
      </c>
      <c r="E5" s="18">
        <v>42163</v>
      </c>
      <c r="F5" s="19">
        <v>32817</v>
      </c>
      <c r="G5" s="19"/>
      <c r="H5" s="19" t="s">
        <v>74</v>
      </c>
    </row>
    <row r="6" spans="1:8" ht="15.95">
      <c r="A6" s="19">
        <v>5</v>
      </c>
      <c r="B6" s="19">
        <v>6</v>
      </c>
      <c r="C6" s="12">
        <v>40486583</v>
      </c>
      <c r="D6" s="17">
        <v>40909</v>
      </c>
      <c r="E6" s="18">
        <v>42370</v>
      </c>
      <c r="F6" s="19">
        <v>32817</v>
      </c>
      <c r="G6" s="19"/>
      <c r="H6" s="19" t="s">
        <v>75</v>
      </c>
    </row>
    <row r="7" spans="1:8" ht="17.100000000000001">
      <c r="A7">
        <v>6</v>
      </c>
      <c r="B7">
        <v>7</v>
      </c>
      <c r="C7" s="12">
        <v>40486583</v>
      </c>
      <c r="D7" s="17">
        <v>43101</v>
      </c>
      <c r="E7" s="18">
        <v>43466</v>
      </c>
      <c r="F7" s="13">
        <v>32817</v>
      </c>
      <c r="G7" s="13"/>
      <c r="H7" s="19" t="s">
        <v>76</v>
      </c>
    </row>
    <row r="8" spans="1:8" ht="15.95">
      <c r="A8" s="19">
        <v>7</v>
      </c>
      <c r="B8">
        <v>8</v>
      </c>
      <c r="C8" s="11">
        <v>141232</v>
      </c>
      <c r="D8" s="17">
        <v>43891</v>
      </c>
      <c r="E8" s="18">
        <v>45657</v>
      </c>
      <c r="F8" s="19">
        <v>32817</v>
      </c>
      <c r="G8" s="19"/>
      <c r="H8" s="19" t="s">
        <v>77</v>
      </c>
    </row>
    <row r="9" spans="1:8" ht="20.100000000000001" customHeight="1">
      <c r="A9" s="19">
        <v>8</v>
      </c>
      <c r="B9" s="19">
        <v>9</v>
      </c>
      <c r="C9" s="14">
        <v>443708</v>
      </c>
      <c r="D9" s="17">
        <v>43892</v>
      </c>
      <c r="E9" s="18">
        <v>45658</v>
      </c>
      <c r="F9" s="19">
        <v>32817</v>
      </c>
      <c r="G9" s="19"/>
      <c r="H9" s="19" t="s">
        <v>78</v>
      </c>
    </row>
    <row r="10" spans="1:8" ht="15.95">
      <c r="A10" s="19">
        <v>9</v>
      </c>
      <c r="B10" s="19">
        <v>10</v>
      </c>
      <c r="C10" s="12">
        <v>4029660</v>
      </c>
      <c r="D10" s="17">
        <v>43101</v>
      </c>
      <c r="E10" s="18">
        <v>43831</v>
      </c>
      <c r="F10" s="19">
        <v>32817</v>
      </c>
      <c r="G10" s="19"/>
      <c r="H10" s="19" t="s">
        <v>79</v>
      </c>
    </row>
    <row r="11" spans="1:8" ht="15.95">
      <c r="A11" s="19">
        <v>10</v>
      </c>
      <c r="B11" s="19">
        <v>11</v>
      </c>
      <c r="C11" s="15">
        <v>197508</v>
      </c>
      <c r="D11" s="17">
        <v>42339</v>
      </c>
      <c r="E11" s="17">
        <v>43435</v>
      </c>
      <c r="F11" s="19">
        <v>32817</v>
      </c>
      <c r="G11" s="19">
        <v>45491531</v>
      </c>
      <c r="H11" s="19" t="s">
        <v>80</v>
      </c>
    </row>
    <row r="12" spans="1:8" ht="15.95">
      <c r="A12" s="1"/>
      <c r="B12" s="1"/>
      <c r="D12" s="7"/>
      <c r="E12" s="18"/>
      <c r="F12" s="2"/>
      <c r="G12" s="2"/>
    </row>
    <row r="13" spans="1:8" ht="15.95">
      <c r="A13" s="1"/>
      <c r="B13" s="1"/>
      <c r="C13" s="7"/>
      <c r="D13" s="7"/>
      <c r="E13" s="21"/>
      <c r="F13" s="2"/>
      <c r="G13" s="2"/>
    </row>
    <row r="14" spans="1:8" ht="15.95">
      <c r="A14" s="1"/>
      <c r="B14" s="1"/>
      <c r="C14" s="7"/>
      <c r="D14" s="7"/>
      <c r="E14" s="21"/>
      <c r="F14" s="2"/>
      <c r="G14" s="2"/>
    </row>
    <row r="15" spans="1:8" ht="15.95">
      <c r="A15" s="1"/>
      <c r="B15" s="1"/>
      <c r="C15" s="7"/>
      <c r="D15" s="7"/>
      <c r="E15" s="3"/>
      <c r="F15" s="3"/>
      <c r="G15" s="3"/>
    </row>
    <row r="16" spans="1:8" ht="15.95">
      <c r="A16" s="1"/>
      <c r="B16" s="1"/>
      <c r="C16" s="7"/>
      <c r="D16" s="7"/>
    </row>
    <row r="17" spans="1:7" ht="15.95">
      <c r="A17" s="19"/>
      <c r="B17" s="19"/>
      <c r="C17" s="19"/>
      <c r="D17" s="19"/>
    </row>
    <row r="18" spans="1:7" ht="15.95">
      <c r="A18" s="1"/>
      <c r="B18" s="1"/>
      <c r="C18" s="7"/>
      <c r="D18" s="7"/>
    </row>
    <row r="19" spans="1:7" ht="15.95">
      <c r="C19" s="7"/>
      <c r="D19" s="7"/>
      <c r="G19" s="7"/>
    </row>
    <row r="20" spans="1:7" ht="15.95">
      <c r="C20" s="7"/>
      <c r="D20" s="7"/>
    </row>
    <row r="21" spans="1:7" ht="15.95">
      <c r="C21" s="7"/>
      <c r="D21" s="7"/>
    </row>
    <row r="22" spans="1:7" ht="15.95">
      <c r="C22" s="7"/>
      <c r="D22" s="7"/>
    </row>
    <row r="23" spans="1:7" ht="15.95">
      <c r="B23" s="7"/>
      <c r="C23" s="7"/>
      <c r="D23" s="7"/>
    </row>
    <row r="24" spans="1:7" ht="15.95">
      <c r="C24" s="8"/>
      <c r="D24" s="3"/>
    </row>
  </sheetData>
  <conditionalFormatting sqref="C9">
    <cfRule type="duplicateValues" dxfId="9" priority="1"/>
  </conditionalFormatting>
  <hyperlinks>
    <hyperlink ref="C11" r:id="rId1" display="https://athena.ohdsi.org/search-terms/terms/197508" xr:uid="{5FE961EC-5C26-864B-BD47-02EA72367243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4E6963FC25B648BA714709AD13E4CD" ma:contentTypeVersion="3" ma:contentTypeDescription="Create a new document." ma:contentTypeScope="" ma:versionID="4e64428f44db61d456aaea26b8f44cb7">
  <xsd:schema xmlns:xsd="http://www.w3.org/2001/XMLSchema" xmlns:xs="http://www.w3.org/2001/XMLSchema" xmlns:p="http://schemas.microsoft.com/office/2006/metadata/properties" xmlns:ns2="91cdd455-4be3-4f7a-9942-8a31210039cb" targetNamespace="http://schemas.microsoft.com/office/2006/metadata/properties" ma:root="true" ma:fieldsID="cbed9391622bc46840a07c493dd83def" ns2:_="">
    <xsd:import namespace="91cdd455-4be3-4f7a-9942-8a31210039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dd455-4be3-4f7a-9942-8a31210039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DF05F8-3308-4EA3-8F5D-FC78E20AC719}"/>
</file>

<file path=customXml/itemProps2.xml><?xml version="1.0" encoding="utf-8"?>
<ds:datastoreItem xmlns:ds="http://schemas.openxmlformats.org/officeDocument/2006/customXml" ds:itemID="{C5D7D08E-0A62-43C1-8C88-9CCB403320B4}"/>
</file>

<file path=customXml/itemProps3.xml><?xml version="1.0" encoding="utf-8"?>
<ds:datastoreItem xmlns:ds="http://schemas.openxmlformats.org/officeDocument/2006/customXml" ds:itemID="{24F405B8-D94E-404D-BACC-4EAF448A1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2026-02-02T15:19:42Z</dcterms:created>
  <dcterms:modified xsi:type="dcterms:W3CDTF">2026-08-12T13:59:30Z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0x0101003F4E6963FC25B648BA714709AD13E4CD</vt:lpwstr>
  </property>
  <property fmtid="{D5CDD505-2E9C-101B-9397-08002B2CF9AE}" pid="3" name="MediaServiceImageTags">
    <vt:lpwstr/>
  </property>
</Properties>
</file>